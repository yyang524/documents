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Regression" sheetId="3" state="visible" r:id="rId3"/>
    <sheet name="Chart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1F2937"/>
      <sz val="11"/>
    </font>
    <font>
      <i val="1"/>
      <color rgb="00555555"/>
      <sz val="10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bottom style="thin">
        <color rgb="00D0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4" fillId="2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Saudi Arabia: Blanchard-Leigh scatter (2017-2024 budget years)</a:t>
            </a:r>
          </a:p>
        </rich>
      </tx>
    </title>
    <plotArea>
      <scatterChart>
        <ser>
          <idx val="0"/>
          <order val="0"/>
          <tx>
            <v>vs latest IMF actuals</v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2A78D6"/>
              </a:solidFill>
              <a:ln>
                <a:prstDash val="solid"/>
              </a:ln>
            </spPr>
          </marker>
          <trendline>
            <trendlineType val="linear"/>
          </trendline>
          <xVal>
            <numRef>
              <f>'Regression'!$B$6:$B$12</f>
            </numRef>
          </xVal>
          <yVal>
            <numRef>
              <f>'Regression'!$C$6:$C$12</f>
            </numRef>
          </yVal>
        </ser>
        <ser>
          <idx val="1"/>
          <order val="1"/>
          <tx>
            <v>vs first-outturn actuals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solidFill>
                <a:srgbClr val="4A3AA7"/>
              </a:solidFill>
              <a:ln>
                <a:prstDash val="solid"/>
              </a:ln>
            </spPr>
          </marker>
          <xVal>
            <numRef>
              <f>'Regression'!$B$6:$B$12</f>
            </numRef>
          </xVal>
          <yVal>
            <numRef>
              <f>'Regression'!$D$6:$D$12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Planned consolidation: projected ΔNOPB, pp of non-oil GDP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Non-oil growth forecast error, pp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Saudi Arabia: Blanchard-Leigh (2013) exercise on IMF non-oil projections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Blanchard &amp; Leigh (2013, AER P&amp;P 'Growth Forecast Errors and Fiscal Multipliers') regress growth-forecast errors on the</t>
        </is>
      </c>
    </row>
    <row r="5">
      <c r="A5" t="inlineStr">
        <is>
          <t>fiscal consolidation planned at forecast time: FE(t) = alpha + beta * planned consolidation(t) + eps. beta &lt; 0 indicates</t>
        </is>
      </c>
    </row>
    <row r="6">
      <c r="A6" t="inlineStr">
        <is>
          <t>fiscal multipliers larger than assumed by forecasters. This workbook adapts the design to Saudi Arabia's non-oil economy:</t>
        </is>
      </c>
    </row>
    <row r="7">
      <c r="A7" t="inlineStr">
        <is>
          <t xml:space="preserve">  - Outcome: real NON-OIL GDP growth, year t.</t>
        </is>
      </c>
    </row>
    <row r="8">
      <c r="A8" t="inlineStr">
        <is>
          <t xml:space="preserve">  - Fiscal variable: NON-OIL PRIMARY BALANCE (NOPB), percent of non-oil GDP.</t>
        </is>
      </c>
    </row>
    <row r="9">
      <c r="A9" t="inlineStr">
        <is>
          <t xml:space="preserve">  - Planned consolidation for t = NOPB(t) projection minus NOPB(t-1) estimate, both from the same pre-budget vintage.</t>
        </is>
      </c>
    </row>
    <row r="10">
      <c r="A10" t="inlineStr"/>
    </row>
    <row r="11">
      <c r="A11" s="2" t="inlineStr">
        <is>
          <t>Projection vintages ('official projections')</t>
        </is>
      </c>
    </row>
    <row r="12">
      <c r="A12" t="inlineStr">
        <is>
          <t>The Saudi authorities do not publish non-oil GDP growth or NOPB projections consistently, so per the task instruction the</t>
        </is>
      </c>
    </row>
    <row r="13">
      <c r="A13" t="inlineStr">
        <is>
          <t>IMF staff projections closest before each budget's approval are used. Saudi budgets for year t are approved in Nov/Dec of</t>
        </is>
      </c>
    </row>
    <row r="14">
      <c r="A14" t="inlineStr">
        <is>
          <t>t-1; the IMF Article IV staff report for Saudi Arabia is published Jul-Oct, i.e. 2-5 months before the budget. The vintage</t>
        </is>
      </c>
    </row>
    <row r="15">
      <c r="A15" t="inlineStr">
        <is>
          <t>for budget year t is therefore the Article IV report published in t-1 (e.g. budget year 2017 &lt;- CR 16/326 of Oct 2016).</t>
        </is>
      </c>
    </row>
    <row r="16">
      <c r="A16" t="inlineStr">
        <is>
          <t>There was no 2020 Article IV consultation (COVID), so budget year 2021 has no usable IMF non-oil vintage.</t>
        </is>
      </c>
    </row>
    <row r="17">
      <c r="A17" t="inlineStr">
        <is>
          <t>The IMF World Economic Outlook database was not used because it does not carry non-oil GDP or NOPB series.</t>
        </is>
      </c>
    </row>
    <row r="18">
      <c r="A18" t="inlineStr"/>
    </row>
    <row r="19">
      <c r="A19" s="2" t="inlineStr">
        <is>
          <t>Actual outcomes</t>
        </is>
      </c>
    </row>
    <row r="20">
      <c r="A20" t="inlineStr">
        <is>
          <t>Two variants are provided:</t>
        </is>
      </c>
    </row>
    <row r="21">
      <c r="A21" t="inlineStr">
        <is>
          <t xml:space="preserve">  1) LATEST IMF historical data (headline, per task instruction): the most recent staff report containing year t</t>
        </is>
      </c>
    </row>
    <row r="22">
      <c r="A22" t="inlineStr">
        <is>
          <t xml:space="preserve">     (CR 25/223 of Aug 2025 for 2022-2024; CR 24/280 for 2020-2021; CR 23/323 for 2019; CR 19/290 for 2017-2018).</t>
        </is>
      </c>
    </row>
    <row r="23">
      <c r="A23" t="inlineStr">
        <is>
          <t xml:space="preserve">  2) FIRST-OUTTURN estimates: year t as first shown as actual/estimate in the next available report. Included because</t>
        </is>
      </c>
    </row>
    <row r="24">
      <c r="A24" t="inlineStr">
        <is>
          <t xml:space="preserve">     GASTAT's 2023-2025 national-accounts rebasing changed definitions: CR 25/223 measures non-oil GDP as non-oil</t>
        </is>
      </c>
    </row>
    <row r="25">
      <c r="A25" t="inlineStr">
        <is>
          <t xml:space="preserve">     activities + government activities + net taxes, lifting 2022 non-oil growth from 5.3% (CR 24/280) to 10.9% and</t>
        </is>
      </c>
    </row>
    <row r="26">
      <c r="A26" t="inlineStr">
        <is>
          <t xml:space="preserve">     shifting NOPB/non-oil GDP from about -32% to -25%. Latest-vintage actuals are therefore NOT on the same basis as</t>
        </is>
      </c>
    </row>
    <row r="27">
      <c r="A27" t="inlineStr">
        <is>
          <t xml:space="preserve">     the older projection vintages; first-outturn actuals are definitionally closer to what forecasters targeted.</t>
        </is>
      </c>
    </row>
    <row r="28">
      <c r="A28" t="inlineStr">
        <is>
          <t>2025 actuals: IMF historical values not yet published (2026 Article IV report due ~Aug 2026). PR 26/181 (3 Jun 2026)</t>
        </is>
      </c>
    </row>
    <row r="29">
      <c r="A29" t="inlineStr">
        <is>
          <t>reports total real GDP growth of 4.5% in 2025 with 'continued strength in non-oil activities'; row left open.</t>
        </is>
      </c>
    </row>
    <row r="30">
      <c r="A30" t="inlineStr"/>
    </row>
    <row r="31">
      <c r="A31" s="2" t="inlineStr">
        <is>
          <t>Results (see Regression sheet)</t>
        </is>
      </c>
    </row>
    <row r="32">
      <c r="A32" t="inlineStr">
        <is>
          <t>With n = 7 usable observations (2017-2020, 2022-2024) the Blanchard-Leigh beta is statistically indistinguishable from</t>
        </is>
      </c>
    </row>
    <row r="33">
      <c r="A33" t="inlineStr">
        <is>
          <t>zero in every specification (full sample, excl. 2020 COVID year, excl. 2020+2022 rebasing year; latest or first-outturn</t>
        </is>
      </c>
    </row>
    <row r="34">
      <c r="A34" t="inlineStr">
        <is>
          <t>actuals). beta ranges from -0.31 to +0.30 with p-values 0.40-0.89. The sample is far too short for inference - as</t>
        </is>
      </c>
    </row>
    <row r="35">
      <c r="A35" t="inlineStr">
        <is>
          <t>anticipated, the scatter charts (Chart sheet and chart.png) are the more honest summary. Points sit both above and below</t>
        </is>
      </c>
    </row>
    <row r="36">
      <c r="A36" t="inlineStr">
        <is>
          <t>zero at similar planned consolidations; the dominant errors are oil-cycle/COVID events (2020) and data rebasing (2022),</t>
        </is>
      </c>
    </row>
    <row r="37">
      <c r="A37" t="inlineStr">
        <is>
          <t>not the size of planned fiscal adjustment.</t>
        </is>
      </c>
    </row>
    <row r="38">
      <c r="A38" t="inlineStr"/>
    </row>
    <row r="39">
      <c r="A39" s="2" t="inlineStr">
        <is>
          <t>Files</t>
        </is>
      </c>
    </row>
    <row r="40">
      <c r="A40" t="inlineStr">
        <is>
          <t>data/imf_reports/  - archived source PDFs (fetched from imf.org / elibrary.imf.org by GitHub Actions workflow).</t>
        </is>
      </c>
    </row>
    <row r="41">
      <c r="A41" t="inlineStr">
        <is>
          <t>Data sheet        - full dataset with formulas; Sources sheet - per-figure citations incl. table and page.</t>
        </is>
      </c>
    </row>
    <row r="42">
      <c r="A42" t="inlineStr"/>
    </row>
    <row r="43">
      <c r="A43" s="3" t="inlineStr">
        <is>
          <t>Prepared 14 Jul 2026. All projection/actual values transcribed from Table 1 (Selected Economic Indicators) of the</t>
        </is>
      </c>
    </row>
    <row r="44">
      <c r="A44" s="3" t="inlineStr">
        <is>
          <t>cited IMF country reports; transcription verified against rendered table images.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2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26" customWidth="1" min="16" max="16"/>
    <col width="13" customWidth="1" min="17" max="17"/>
  </cols>
  <sheetData>
    <row r="1">
      <c r="A1" s="4" t="inlineStr">
        <is>
          <t>Budget year t</t>
        </is>
      </c>
      <c r="B1" s="4" t="inlineStr">
        <is>
          <t>IMF vintage (pub. before t's budget)</t>
        </is>
      </c>
      <c r="C1" s="4" t="inlineStr">
        <is>
          <t>Vintage pub.</t>
        </is>
      </c>
      <c r="D1" s="4" t="inlineStr">
        <is>
          <t>Proj. non-oil real GDP growth t (%)</t>
        </is>
      </c>
      <c r="E1" s="4" t="inlineStr">
        <is>
          <t>Proj. NOPB t (% non-oil GDP)</t>
        </is>
      </c>
      <c r="F1" s="4" t="inlineStr">
        <is>
          <t>Est. NOPB t-1 (% non-oil GDP)</t>
        </is>
      </c>
      <c r="G1" s="4" t="inlineStr">
        <is>
          <t>Planned consolidation ΔNOPB (pp)</t>
        </is>
      </c>
      <c r="H1" s="4" t="inlineStr">
        <is>
          <t>Actual non-oil growth t, latest IMF (%)</t>
        </is>
      </c>
      <c r="I1" s="4" t="inlineStr">
        <is>
          <t>Actual NOPB t, latest IMF (%)</t>
        </is>
      </c>
      <c r="J1" s="4" t="inlineStr">
        <is>
          <t>Latest-actual source</t>
        </is>
      </c>
      <c r="K1" s="4" t="inlineStr">
        <is>
          <t>Forecast error, latest (pp) = H - D</t>
        </is>
      </c>
      <c r="L1" s="4" t="inlineStr">
        <is>
          <t>Actual non-oil growth t, first outturn (%)</t>
        </is>
      </c>
      <c r="M1" s="4" t="inlineStr">
        <is>
          <t>Actual NOPB t, first outturn (%)</t>
        </is>
      </c>
      <c r="N1" s="4" t="inlineStr">
        <is>
          <t>Actual NOPB t-1, same report (%)</t>
        </is>
      </c>
      <c r="O1" s="4" t="inlineStr">
        <is>
          <t>Actual ΔNOPB, first outturn (pp)</t>
        </is>
      </c>
      <c r="P1" s="4" t="inlineStr">
        <is>
          <t>First-outturn source</t>
        </is>
      </c>
      <c r="Q1" s="4" t="inlineStr">
        <is>
          <t>Forecast error, first outturn (pp) = L - D</t>
        </is>
      </c>
    </row>
    <row r="2">
      <c r="A2" s="5" t="n">
        <v>2017</v>
      </c>
      <c r="B2" s="5" t="inlineStr">
        <is>
          <t>CR 16/326 (2016 Art. IV)</t>
        </is>
      </c>
      <c r="C2" s="5" t="inlineStr">
        <is>
          <t>Oct 2016</t>
        </is>
      </c>
      <c r="D2" s="6" t="n">
        <v>2.7</v>
      </c>
      <c r="E2" s="6" t="n">
        <v>-36.2</v>
      </c>
      <c r="F2" s="6" t="n">
        <v>-39.3</v>
      </c>
      <c r="G2" s="6">
        <f>IF(AND(ISNUMBER(E2),ISNUMBER(F2)),E2-F2,"")</f>
        <v/>
      </c>
      <c r="H2" s="6" t="n">
        <v>1.3</v>
      </c>
      <c r="I2" s="6" t="n">
        <v>-39.6</v>
      </c>
      <c r="J2" s="5" t="inlineStr">
        <is>
          <t>CR 19/290</t>
        </is>
      </c>
      <c r="K2" s="6">
        <f>IF(AND(ISNUMBER(H2),ISNUMBER(D2)),H2-D2,"")</f>
        <v/>
      </c>
      <c r="L2" s="6" t="n">
        <v>1.1</v>
      </c>
      <c r="M2" s="6" t="n">
        <v>-39.7</v>
      </c>
      <c r="N2" s="6" t="n">
        <v>-45.7</v>
      </c>
      <c r="O2" s="6">
        <f>IF(AND(ISNUMBER(M2),ISNUMBER(N2)),M2-N2,"")</f>
        <v/>
      </c>
      <c r="P2" s="5" t="inlineStr">
        <is>
          <t>CR 18/263</t>
        </is>
      </c>
      <c r="Q2" s="6">
        <f>IF(AND(ISNUMBER(L2),ISNUMBER(D2)),L2-D2,"")</f>
        <v/>
      </c>
    </row>
    <row r="3">
      <c r="A3" s="5" t="n">
        <v>2018</v>
      </c>
      <c r="B3" s="5" t="inlineStr">
        <is>
          <t>CR 17/316 (2017 Art. IV)</t>
        </is>
      </c>
      <c r="C3" s="5" t="inlineStr">
        <is>
          <t>Oct 2017</t>
        </is>
      </c>
      <c r="D3" s="6" t="n">
        <v>1.3</v>
      </c>
      <c r="E3" s="6" t="n">
        <v>-34</v>
      </c>
      <c r="F3" s="6" t="n">
        <v>-39.6</v>
      </c>
      <c r="G3" s="6">
        <f>IF(AND(ISNUMBER(E3),ISNUMBER(F3)),E3-F3,"")</f>
        <v/>
      </c>
      <c r="H3" s="6" t="n">
        <v>2.1</v>
      </c>
      <c r="I3" s="6" t="n">
        <v>-41.6</v>
      </c>
      <c r="J3" s="5" t="inlineStr">
        <is>
          <t>CR 19/290</t>
        </is>
      </c>
      <c r="K3" s="6">
        <f>IF(AND(ISNUMBER(H3),ISNUMBER(D3)),H3-D3,"")</f>
        <v/>
      </c>
      <c r="L3" s="6" t="n">
        <v>2.1</v>
      </c>
      <c r="M3" s="6" t="n">
        <v>-41.6</v>
      </c>
      <c r="N3" s="6" t="n">
        <v>-39.6</v>
      </c>
      <c r="O3" s="6">
        <f>IF(AND(ISNUMBER(M3),ISNUMBER(N3)),M3-N3,"")</f>
        <v/>
      </c>
      <c r="P3" s="5" t="inlineStr">
        <is>
          <t>CR 19/290</t>
        </is>
      </c>
      <c r="Q3" s="6">
        <f>IF(AND(ISNUMBER(L3),ISNUMBER(D3)),L3-D3,"")</f>
        <v/>
      </c>
    </row>
    <row r="4">
      <c r="A4" s="5" t="n">
        <v>2019</v>
      </c>
      <c r="B4" s="5" t="inlineStr">
        <is>
          <t>CR 18/263 (2018 Art. IV)</t>
        </is>
      </c>
      <c r="C4" s="5" t="inlineStr">
        <is>
          <t>Aug 2018</t>
        </is>
      </c>
      <c r="D4" s="6" t="n">
        <v>2.1</v>
      </c>
      <c r="E4" s="6" t="n">
        <v>-36.9</v>
      </c>
      <c r="F4" s="6" t="n">
        <v>-41.7</v>
      </c>
      <c r="G4" s="6">
        <f>IF(AND(ISNUMBER(E4),ISNUMBER(F4)),E4-F4,"")</f>
        <v/>
      </c>
      <c r="H4" s="6" t="n">
        <v>3.5</v>
      </c>
      <c r="I4" s="6" t="n">
        <v>-34.7</v>
      </c>
      <c r="J4" s="5" t="inlineStr">
        <is>
          <t>CR 23/323</t>
        </is>
      </c>
      <c r="K4" s="6">
        <f>IF(AND(ISNUMBER(H4),ISNUMBER(D4)),H4-D4,"")</f>
        <v/>
      </c>
      <c r="L4" s="6" t="n">
        <v>3.3</v>
      </c>
      <c r="M4" s="6" t="n">
        <v>-35.9</v>
      </c>
      <c r="N4" s="6" t="n"/>
      <c r="O4" s="6">
        <f>IF(AND(ISNUMBER(M4),ISNUMBER(N4)),M4-N4,"")</f>
        <v/>
      </c>
      <c r="P4" s="5" t="inlineStr">
        <is>
          <t>CR 21/149 (no 2018 column; prior year n.a.)</t>
        </is>
      </c>
      <c r="Q4" s="6">
        <f>IF(AND(ISNUMBER(L4),ISNUMBER(D4)),L4-D4,"")</f>
        <v/>
      </c>
    </row>
    <row r="5">
      <c r="A5" s="5" t="n">
        <v>2020</v>
      </c>
      <c r="B5" s="5" t="inlineStr">
        <is>
          <t>CR 19/290 (2019 Art. IV)</t>
        </is>
      </c>
      <c r="C5" s="5" t="inlineStr">
        <is>
          <t>Sep 2019</t>
        </is>
      </c>
      <c r="D5" s="6" t="n">
        <v>2.7</v>
      </c>
      <c r="E5" s="6" t="n">
        <v>-38.1</v>
      </c>
      <c r="F5" s="6" t="n">
        <v>-41.1</v>
      </c>
      <c r="G5" s="6">
        <f>IF(AND(ISNUMBER(E5),ISNUMBER(F5)),E5-F5,"")</f>
        <v/>
      </c>
      <c r="H5" s="6" t="n">
        <v>-2.3</v>
      </c>
      <c r="I5" s="6" t="n">
        <v>-37.2</v>
      </c>
      <c r="J5" s="5" t="inlineStr">
        <is>
          <t>CR 24/280</t>
        </is>
      </c>
      <c r="K5" s="6">
        <f>IF(AND(ISNUMBER(H5),ISNUMBER(D5)),H5-D5,"")</f>
        <v/>
      </c>
      <c r="L5" s="6" t="n">
        <v>-2.3</v>
      </c>
      <c r="M5" s="6" t="n">
        <v>-38.1</v>
      </c>
      <c r="N5" s="6" t="n">
        <v>-35.9</v>
      </c>
      <c r="O5" s="6">
        <f>IF(AND(ISNUMBER(M5),ISNUMBER(N5)),M5-N5,"")</f>
        <v/>
      </c>
      <c r="P5" s="5" t="inlineStr">
        <is>
          <t>CR 21/149</t>
        </is>
      </c>
      <c r="Q5" s="6">
        <f>IF(AND(ISNUMBER(L5),ISNUMBER(D5)),L5-D5,"")</f>
        <v/>
      </c>
    </row>
    <row r="6">
      <c r="A6" s="5" t="n">
        <v>2021</v>
      </c>
      <c r="B6" s="5" t="inlineStr">
        <is>
          <t>none (no 2020 Art. IV; COVID)</t>
        </is>
      </c>
      <c r="C6" s="5" t="inlineStr">
        <is>
          <t>-</t>
        </is>
      </c>
      <c r="D6" s="6" t="n"/>
      <c r="E6" s="6" t="n"/>
      <c r="F6" s="6" t="n"/>
      <c r="G6" s="6">
        <f>IF(AND(ISNUMBER(E6),ISNUMBER(F6)),E6-F6,"")</f>
        <v/>
      </c>
      <c r="H6" s="6" t="n">
        <v>5.6</v>
      </c>
      <c r="I6" s="6" t="n">
        <v>-29.1</v>
      </c>
      <c r="J6" s="5" t="inlineStr">
        <is>
          <t>CR 24/280</t>
        </is>
      </c>
      <c r="K6" s="6">
        <f>IF(AND(ISNUMBER(H6),ISNUMBER(D6)),H6-D6,"")</f>
        <v/>
      </c>
      <c r="L6" s="6" t="n">
        <v>4.9</v>
      </c>
      <c r="M6" s="6" t="n">
        <v>-31.4</v>
      </c>
      <c r="N6" s="6" t="n">
        <v>-39.7</v>
      </c>
      <c r="O6" s="6">
        <f>IF(AND(ISNUMBER(M6),ISNUMBER(N6)),M6-N6,"")</f>
        <v/>
      </c>
      <c r="P6" s="5" t="inlineStr">
        <is>
          <t>CR 22/274</t>
        </is>
      </c>
      <c r="Q6" s="6">
        <f>IF(AND(ISNUMBER(L6),ISNUMBER(D6)),L6-D6,"")</f>
        <v/>
      </c>
    </row>
    <row r="7">
      <c r="A7" s="5" t="n">
        <v>2022</v>
      </c>
      <c r="B7" s="5" t="inlineStr">
        <is>
          <t>CR 21/149 (2021 Art. IV)</t>
        </is>
      </c>
      <c r="C7" s="5" t="inlineStr">
        <is>
          <t>Jul 2021</t>
        </is>
      </c>
      <c r="D7" s="6" t="n">
        <v>3.6</v>
      </c>
      <c r="E7" s="6" t="n">
        <v>-25.7</v>
      </c>
      <c r="F7" s="6" t="n">
        <v>-28.2</v>
      </c>
      <c r="G7" s="6">
        <f>IF(AND(ISNUMBER(E7),ISNUMBER(F7)),E7-F7,"")</f>
        <v/>
      </c>
      <c r="H7" s="6" t="n">
        <v>10.9</v>
      </c>
      <c r="I7" s="6" t="n">
        <v>-25.3</v>
      </c>
      <c r="J7" s="5" t="inlineStr">
        <is>
          <t>CR 25/223 (rebased non-oil GDP)</t>
        </is>
      </c>
      <c r="K7" s="6">
        <f>IF(AND(ISNUMBER(H7),ISNUMBER(D7)),H7-D7,"")</f>
        <v/>
      </c>
      <c r="L7" s="6" t="n">
        <v>4.8</v>
      </c>
      <c r="M7" s="6" t="n">
        <v>-32.4</v>
      </c>
      <c r="N7" s="6" t="n">
        <v>-29.5</v>
      </c>
      <c r="O7" s="6">
        <f>IF(AND(ISNUMBER(M7),ISNUMBER(N7)),M7-N7,"")</f>
        <v/>
      </c>
      <c r="P7" s="5" t="inlineStr">
        <is>
          <t>CR 23/323</t>
        </is>
      </c>
      <c r="Q7" s="6">
        <f>IF(AND(ISNUMBER(L7),ISNUMBER(D7)),L7-D7,"")</f>
        <v/>
      </c>
    </row>
    <row r="8">
      <c r="A8" s="5" t="n">
        <v>2023</v>
      </c>
      <c r="B8" s="5" t="inlineStr">
        <is>
          <t>CR 22/274 (2022 Art. IV)</t>
        </is>
      </c>
      <c r="C8" s="5" t="inlineStr">
        <is>
          <t>Aug 2022</t>
        </is>
      </c>
      <c r="D8" s="6" t="n">
        <v>3.8</v>
      </c>
      <c r="E8" s="6" t="n">
        <v>-26.1</v>
      </c>
      <c r="F8" s="6" t="n">
        <v>-27.9</v>
      </c>
      <c r="G8" s="6">
        <f>IF(AND(ISNUMBER(E8),ISNUMBER(F8)),E8-F8,"")</f>
        <v/>
      </c>
      <c r="H8" s="6" t="n">
        <v>5.8</v>
      </c>
      <c r="I8" s="6" t="n">
        <v>-25.4</v>
      </c>
      <c r="J8" s="5" t="inlineStr">
        <is>
          <t>CR 25/223</t>
        </is>
      </c>
      <c r="K8" s="6">
        <f>IF(AND(ISNUMBER(H8),ISNUMBER(D8)),H8-D8,"")</f>
        <v/>
      </c>
      <c r="L8" s="6" t="n">
        <v>3.8</v>
      </c>
      <c r="M8" s="6" t="n">
        <v>-33</v>
      </c>
      <c r="N8" s="6" t="n">
        <v>-32.2</v>
      </c>
      <c r="O8" s="6">
        <f>IF(AND(ISNUMBER(M8),ISNUMBER(N8)),M8-N8,"")</f>
        <v/>
      </c>
      <c r="P8" s="5" t="inlineStr">
        <is>
          <t>CR 24/280</t>
        </is>
      </c>
      <c r="Q8" s="6">
        <f>IF(AND(ISNUMBER(L8),ISNUMBER(D8)),L8-D8,"")</f>
        <v/>
      </c>
    </row>
    <row r="9">
      <c r="A9" s="5" t="n">
        <v>2024</v>
      </c>
      <c r="B9" s="5" t="inlineStr">
        <is>
          <t>CR 23/323 (2023 Art. IV)</t>
        </is>
      </c>
      <c r="C9" s="5" t="inlineStr">
        <is>
          <t>Sep 2023</t>
        </is>
      </c>
      <c r="D9" s="6" t="n">
        <v>4.4</v>
      </c>
      <c r="E9" s="6" t="n">
        <v>-25.8</v>
      </c>
      <c r="F9" s="6" t="n">
        <v>-27.4</v>
      </c>
      <c r="G9" s="6">
        <f>IF(AND(ISNUMBER(E9),ISNUMBER(F9)),E9-F9,"")</f>
        <v/>
      </c>
      <c r="H9" s="6" t="n">
        <v>4.5</v>
      </c>
      <c r="I9" s="6" t="n">
        <v>-24.7</v>
      </c>
      <c r="J9" s="5" t="inlineStr">
        <is>
          <t>CR 25/223</t>
        </is>
      </c>
      <c r="K9" s="6">
        <f>IF(AND(ISNUMBER(H9),ISNUMBER(D9)),H9-D9,"")</f>
        <v/>
      </c>
      <c r="L9" s="6" t="n">
        <v>4.5</v>
      </c>
      <c r="M9" s="6" t="n">
        <v>-24.7</v>
      </c>
      <c r="N9" s="6" t="n">
        <v>-25.4</v>
      </c>
      <c r="O9" s="6">
        <f>IF(AND(ISNUMBER(M9),ISNUMBER(N9)),M9-N9,"")</f>
        <v/>
      </c>
      <c r="P9" s="5" t="inlineStr">
        <is>
          <t>CR 25/223 (rebased non-oil GDP)</t>
        </is>
      </c>
      <c r="Q9" s="6">
        <f>IF(AND(ISNUMBER(L9),ISNUMBER(D9)),L9-D9,"")</f>
        <v/>
      </c>
    </row>
    <row r="10">
      <c r="A10" s="5" t="n">
        <v>2025</v>
      </c>
      <c r="B10" s="5" t="inlineStr">
        <is>
          <t>CR 24/280 (2024 Art. IV)</t>
        </is>
      </c>
      <c r="C10" s="5" t="inlineStr">
        <is>
          <t>Sep 2024</t>
        </is>
      </c>
      <c r="D10" s="6" t="n">
        <v>4.4</v>
      </c>
      <c r="E10" s="6" t="n">
        <v>-30.4</v>
      </c>
      <c r="F10" s="6" t="n">
        <v>-32.4</v>
      </c>
      <c r="G10" s="6">
        <f>IF(AND(ISNUMBER(E10),ISNUMBER(F10)),E10-F10,"")</f>
        <v/>
      </c>
      <c r="H10" s="6" t="n"/>
      <c r="I10" s="6" t="n"/>
      <c r="J10" s="5" t="inlineStr">
        <is>
          <t>n.a. - 2026 Art. IV report due ~Aug 2026; PR 26/181: real GDP +4.5% in 2025</t>
        </is>
      </c>
      <c r="K10" s="6">
        <f>IF(AND(ISNUMBER(H10),ISNUMBER(D10)),H10-D10,"")</f>
        <v/>
      </c>
      <c r="L10" s="6" t="n"/>
      <c r="M10" s="6" t="n"/>
      <c r="N10" s="6" t="n"/>
      <c r="O10" s="6">
        <f>IF(AND(ISNUMBER(M10),ISNUMBER(N10)),M10-N10,"")</f>
        <v/>
      </c>
      <c r="P10" s="5" t="inlineStr">
        <is>
          <t>n.a.</t>
        </is>
      </c>
      <c r="Q10" s="6">
        <f>IF(AND(ISNUMBER(L10),ISNUMBER(D10)),L10-D10,"")</f>
        <v/>
      </c>
    </row>
    <row r="11">
      <c r="A11" s="5" t="n">
        <v>2026</v>
      </c>
      <c r="B11" s="5" t="inlineStr">
        <is>
          <t>CR 25/223 (2025 Art. IV)</t>
        </is>
      </c>
      <c r="C11" s="5" t="inlineStr">
        <is>
          <t>Aug 2025</t>
        </is>
      </c>
      <c r="D11" s="6" t="n">
        <v>3.5</v>
      </c>
      <c r="E11" s="6" t="n">
        <v>-20.3</v>
      </c>
      <c r="F11" s="6" t="n">
        <v>-21.1</v>
      </c>
      <c r="G11" s="6">
        <f>IF(AND(ISNUMBER(E11),ISNUMBER(F11)),E11-F11,"")</f>
        <v/>
      </c>
      <c r="H11" s="6" t="n"/>
      <c r="I11" s="6" t="n"/>
      <c r="J11" s="5" t="inlineStr">
        <is>
          <t>n.a. (year in progress)</t>
        </is>
      </c>
      <c r="K11" s="6">
        <f>IF(AND(ISNUMBER(H11),ISNUMBER(D11)),H11-D11,"")</f>
        <v/>
      </c>
      <c r="L11" s="6" t="n"/>
      <c r="M11" s="6" t="n"/>
      <c r="N11" s="6" t="n"/>
      <c r="O11" s="6">
        <f>IF(AND(ISNUMBER(M11),ISNUMBER(N11)),M11-N11,"")</f>
        <v/>
      </c>
      <c r="P11" s="5" t="inlineStr">
        <is>
          <t>n.a.</t>
        </is>
      </c>
      <c r="Q11" s="6">
        <f>IF(AND(ISNUMBER(L11),ISNUMBER(D11)),L11-D11,"")</f>
        <v/>
      </c>
    </row>
    <row r="13">
      <c r="A13" s="3" t="inlineStr">
        <is>
          <t>Notes: 2021 - no IMF vintage (2020 Article IV skipped, COVID). 2025/2026 - IMF actuals not yet published. 2022 latest actual &amp; 2024 first outturn are on GASTAT's rebased national accounts (CR 25/223 basis), not the basis of older vintages. 2019 'Actual NOPB t-1 same report' is n.a. because CR 21/149's table starts in 2019.</t>
        </is>
      </c>
    </row>
  </sheetData>
  <mergeCells count="1">
    <mergeCell ref="A13:Q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" t="inlineStr">
        <is>
          <t>Blanchard-Leigh regression: FE(t) = alpha + beta * planned ΔNOPB(t)</t>
        </is>
      </c>
    </row>
    <row r="2">
      <c r="A2" s="3" t="inlineStr">
        <is>
          <t>Live formulas (SLOPE/INTERCEPT/LINEST over the complete-case block below). Delete a row from the block to test sensitivity.</t>
        </is>
      </c>
    </row>
    <row r="4">
      <c r="A4" s="7" t="inlineStr">
        <is>
          <t>Complete observations</t>
        </is>
      </c>
    </row>
    <row r="5">
      <c r="A5" s="8" t="inlineStr">
        <is>
          <t>Budget year</t>
        </is>
      </c>
      <c r="B5" s="8" t="inlineStr">
        <is>
          <t>Planned ΔNOPB (pp)</t>
        </is>
      </c>
      <c r="C5" s="8" t="inlineStr">
        <is>
          <t>FE latest (pp)</t>
        </is>
      </c>
      <c r="D5" s="8" t="inlineStr">
        <is>
          <t>FE first outturn (pp)</t>
        </is>
      </c>
    </row>
    <row r="6">
      <c r="A6" t="n">
        <v>2017</v>
      </c>
      <c r="B6" s="9">
        <f>Data!G2</f>
        <v/>
      </c>
      <c r="C6" s="9">
        <f>Data!K2</f>
        <v/>
      </c>
      <c r="D6" s="9">
        <f>Data!Q2</f>
        <v/>
      </c>
    </row>
    <row r="7">
      <c r="A7" t="n">
        <v>2018</v>
      </c>
      <c r="B7" s="9">
        <f>Data!G3</f>
        <v/>
      </c>
      <c r="C7" s="9">
        <f>Data!K3</f>
        <v/>
      </c>
      <c r="D7" s="9">
        <f>Data!Q3</f>
        <v/>
      </c>
    </row>
    <row r="8">
      <c r="A8" t="n">
        <v>2019</v>
      </c>
      <c r="B8" s="9">
        <f>Data!G4</f>
        <v/>
      </c>
      <c r="C8" s="9">
        <f>Data!K4</f>
        <v/>
      </c>
      <c r="D8" s="9">
        <f>Data!Q4</f>
        <v/>
      </c>
    </row>
    <row r="9">
      <c r="A9" t="n">
        <v>2020</v>
      </c>
      <c r="B9" s="9">
        <f>Data!G5</f>
        <v/>
      </c>
      <c r="C9" s="9">
        <f>Data!K5</f>
        <v/>
      </c>
      <c r="D9" s="9">
        <f>Data!Q5</f>
        <v/>
      </c>
    </row>
    <row r="10">
      <c r="A10" t="n">
        <v>2022</v>
      </c>
      <c r="B10" s="9">
        <f>Data!G7</f>
        <v/>
      </c>
      <c r="C10" s="9">
        <f>Data!K7</f>
        <v/>
      </c>
      <c r="D10" s="9">
        <f>Data!Q7</f>
        <v/>
      </c>
    </row>
    <row r="11">
      <c r="A11" t="n">
        <v>2023</v>
      </c>
      <c r="B11" s="9">
        <f>Data!G8</f>
        <v/>
      </c>
      <c r="C11" s="9">
        <f>Data!K8</f>
        <v/>
      </c>
      <c r="D11" s="9">
        <f>Data!Q8</f>
        <v/>
      </c>
    </row>
    <row r="12">
      <c r="A12" t="n">
        <v>2024</v>
      </c>
      <c r="B12" s="9">
        <f>Data!G9</f>
        <v/>
      </c>
      <c r="C12" s="9">
        <f>Data!K9</f>
        <v/>
      </c>
      <c r="D12" s="9">
        <f>Data!Q9</f>
        <v/>
      </c>
    </row>
    <row r="14">
      <c r="A14" s="7" t="inlineStr">
        <is>
          <t>Statistic</t>
        </is>
      </c>
      <c r="B14" s="7" t="inlineStr">
        <is>
          <t>vs latest actuals</t>
        </is>
      </c>
      <c r="C14" s="7" t="inlineStr">
        <is>
          <t>vs first outturn</t>
        </is>
      </c>
    </row>
    <row r="15">
      <c r="A15" t="inlineStr">
        <is>
          <t>beta (slope)</t>
        </is>
      </c>
      <c r="B15" s="10">
        <f>SLOPE(C6:C12,B6:B12)</f>
        <v/>
      </c>
      <c r="C15" s="10">
        <f>SLOPE(D6:D12,B6:B12)</f>
        <v/>
      </c>
    </row>
    <row r="16">
      <c r="A16" t="inlineStr">
        <is>
          <t>s.e. of beta</t>
        </is>
      </c>
      <c r="B16" s="10">
        <f>INDEX(LINEST(C6:C12,B6:B12,TRUE,TRUE),2,1)</f>
        <v/>
      </c>
      <c r="C16" s="10">
        <f>INDEX(LINEST(D6:D12,B6:B12,TRUE,TRUE),2,1)</f>
        <v/>
      </c>
    </row>
    <row r="17">
      <c r="A17" t="inlineStr">
        <is>
          <t>t-stat of beta</t>
        </is>
      </c>
      <c r="B17" s="10">
        <f>SLOPE(C6:C12,B6:B12)/INDEX(LINEST(C6:C12,B6:B12,TRUE,TRUE),2,1)</f>
        <v/>
      </c>
      <c r="C17" s="10">
        <f>SLOPE(D6:D12,B6:B12)/INDEX(LINEST(D6:D12,B6:B12,TRUE,TRUE),2,1)</f>
        <v/>
      </c>
    </row>
    <row r="18">
      <c r="A18" t="inlineStr">
        <is>
          <t>alpha (intercept)</t>
        </is>
      </c>
      <c r="B18" s="10">
        <f>INTERCEPT(C6:C12,B6:B12)</f>
        <v/>
      </c>
      <c r="C18" s="10">
        <f>INTERCEPT(D6:D12,B6:B12)</f>
        <v/>
      </c>
    </row>
    <row r="19">
      <c r="A19" t="inlineStr">
        <is>
          <t>R-squared</t>
        </is>
      </c>
      <c r="B19" s="10">
        <f>RSQ(C6:C12,B6:B12)</f>
        <v/>
      </c>
      <c r="C19" s="10">
        <f>RSQ(D6:D12,B6:B12)</f>
        <v/>
      </c>
    </row>
    <row r="20">
      <c r="A20" t="inlineStr">
        <is>
          <t>n</t>
        </is>
      </c>
      <c r="B20" s="10">
        <f>COUNT(C6:C12)</f>
        <v/>
      </c>
      <c r="C20" s="10">
        <f>COUNT(D6:D12)</f>
        <v/>
      </c>
    </row>
    <row r="22">
      <c r="A22" s="3" t="inlineStr">
        <is>
          <t>Pre-computed (statsmodels OLS): latest actuals, full n=7: beta=-0.21 (se 1.11, p=0.86); excl. 2020: beta=-0.31 (p=0.75); excl. 2020&amp;2022: beta=+0.06 (p=0.89).</t>
        </is>
      </c>
    </row>
    <row r="23">
      <c r="A23" s="3" t="inlineStr">
        <is>
          <t>First-outturn actuals, full n=7: beta=+0.30 (se 0.65, p=0.67); excl. 2020: +0.22 (p=0.51); excl. 2020&amp;2022: +0.30 (p=0.40). No specification is significant; sample too short for inference.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Non-oil growth forecast error vs planned change in non-oil primary balance (IMF pre-budget vintages)</t>
        </is>
      </c>
    </row>
    <row r="29">
      <c r="A29" s="3" t="inlineStr">
        <is>
          <t>Interactive Excel chart: series 1 (blue circles) uses latest IMF actuals with a linear trendline; series 2 (violet diamonds) uses first-outturn actuals.</t>
        </is>
      </c>
    </row>
    <row r="30">
      <c r="A30" s="3" t="inlineStr">
        <is>
          <t>Static labeled version with year annotations: see chart.png in the repository.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30" customWidth="1" min="4" max="4"/>
    <col width="78" customWidth="1" min="5" max="5"/>
  </cols>
  <sheetData>
    <row r="1">
      <c r="A1" s="4" t="inlineStr">
        <is>
          <t>Role</t>
        </is>
      </c>
      <c r="B1" s="4" t="inlineStr">
        <is>
          <t>Document</t>
        </is>
      </c>
      <c r="C1" s="4" t="inlineStr">
        <is>
          <t>Published</t>
        </is>
      </c>
      <c r="D1" s="4" t="inlineStr">
        <is>
          <t>Values used</t>
        </is>
      </c>
      <c r="E1" s="4" t="inlineStr">
        <is>
          <t>URL / archive</t>
        </is>
      </c>
    </row>
    <row r="2">
      <c r="A2" s="11" t="inlineStr">
        <is>
          <t>Vintage t=2017</t>
        </is>
      </c>
      <c r="B2" s="11" t="inlineStr">
        <is>
          <t>IMF CR 16/326, 2016 Article IV staff report</t>
        </is>
      </c>
      <c r="C2" s="11" t="inlineStr">
        <is>
          <t>Oct 2016</t>
        </is>
      </c>
      <c r="D2" s="11" t="inlineStr">
        <is>
          <t>Table 1 p.41: non-oil growth 2016-17; NOPB 2016-17</t>
        </is>
      </c>
      <c r="E2" s="11" t="inlineStr">
        <is>
          <t>https://www.imf.org/en/Publications/CR/Issues/2016/12/31/Saudi-Arabia-2016-Article-IV-Consultation-Press-Release-Staff-Report-and-Informational-Annex-44328 | data/imf_reports/imf_sau_artiv_2016_cr16326.pdf</t>
        </is>
      </c>
    </row>
    <row r="3">
      <c r="A3" s="11" t="inlineStr">
        <is>
          <t>Vintage t=2018</t>
        </is>
      </c>
      <c r="B3" s="11" t="inlineStr">
        <is>
          <t>IMF CR 17/316, 2017 Article IV staff report</t>
        </is>
      </c>
      <c r="C3" s="11" t="inlineStr">
        <is>
          <t>Oct 2017</t>
        </is>
      </c>
      <c r="D3" s="11" t="inlineStr">
        <is>
          <t>Table 1 p.41: non-oil growth 2017-18; NOPB 2017-18</t>
        </is>
      </c>
      <c r="E3" s="11" t="inlineStr">
        <is>
          <t>https://www.imf.org/en/Publications/CR/Issues/2017/10/05/Saudi-Arabia-2017-Article-IV-Consultation-Press-Release-and-Staff-Report-45312 | data/imf_reports/imf_sau_artiv_2017_cr17316.pdf</t>
        </is>
      </c>
    </row>
    <row r="4">
      <c r="A4" s="11" t="inlineStr">
        <is>
          <t>Vintage t=2019</t>
        </is>
      </c>
      <c r="B4" s="11" t="inlineStr">
        <is>
          <t>IMF CR 18/263, 2018 Article IV staff report</t>
        </is>
      </c>
      <c r="C4" s="11" t="inlineStr">
        <is>
          <t>Aug 2018</t>
        </is>
      </c>
      <c r="D4" s="11" t="inlineStr">
        <is>
          <t>Table 1 p.41: non-oil growth 2018-19; NOPB 2018-19</t>
        </is>
      </c>
      <c r="E4" s="11" t="inlineStr">
        <is>
          <t>https://www.imf.org/en/Publications/CR/Issues/2018/08/24/Saudi-Arabia-2018-Article-IV-Consultation-Press-Release-and-Staff-Report-46195 | data/imf_reports/imf_sau_artiv_2018_cr18263.pdf</t>
        </is>
      </c>
    </row>
    <row r="5">
      <c r="A5" s="11" t="inlineStr">
        <is>
          <t>Vintage t=2020</t>
        </is>
      </c>
      <c r="B5" s="11" t="inlineStr">
        <is>
          <t>IMF CR 19/290, 2019 Article IV staff report</t>
        </is>
      </c>
      <c r="C5" s="11" t="inlineStr">
        <is>
          <t>Sep 2019</t>
        </is>
      </c>
      <c r="D5" s="11" t="inlineStr">
        <is>
          <t>Table 1 p.44: non-oil growth 2019-20; NOPB 2019-20; also latest actuals for 2017-18</t>
        </is>
      </c>
      <c r="E5" s="11" t="inlineStr">
        <is>
          <t>https://www.imf.org/en/Publications/CR/Issues/2019/09/09/Saudi-Arabia-2019-Article-IV-Consultation-Press-Release-and-Staff-Report-48659 | data/imf_reports/imf_sau_artiv_2019_cr19290.pdf</t>
        </is>
      </c>
    </row>
    <row r="6">
      <c r="A6" s="11" t="inlineStr">
        <is>
          <t>(t=2021)</t>
        </is>
      </c>
      <c r="B6" s="11" t="inlineStr">
        <is>
          <t>No 2020 Article IV consultation (COVID-19); no IMF non-oil vintage near the Dec-2020 budget</t>
        </is>
      </c>
      <c r="C6" s="11" t="inlineStr">
        <is>
          <t>-</t>
        </is>
      </c>
      <c r="D6" s="11" t="inlineStr">
        <is>
          <t>-</t>
        </is>
      </c>
      <c r="E6" s="11" t="inlineStr">
        <is>
          <t>-</t>
        </is>
      </c>
    </row>
    <row r="7">
      <c r="A7" s="11" t="inlineStr">
        <is>
          <t>Vintage t=2022</t>
        </is>
      </c>
      <c r="B7" s="11" t="inlineStr">
        <is>
          <t>IMF CR 21/149, 2021 Article IV staff report</t>
        </is>
      </c>
      <c r="C7" s="11" t="inlineStr">
        <is>
          <t>Jul 2021</t>
        </is>
      </c>
      <c r="D7" s="11" t="inlineStr">
        <is>
          <t>Table 1 p.40: non-oil growth 2021-22; NOPB 2021-22; first outturn for 2019-20</t>
        </is>
      </c>
      <c r="E7" s="11" t="inlineStr">
        <is>
          <t>https://www.imf.org/en/Publications/CR/Issues/2021/07/07/Saudi-Arabia-2021-Article-IV-Consultation-Press-Release-and-Staff-Report-461736 | data/imf_reports/imf_sau_artiv_2021_cr21149.pdf</t>
        </is>
      </c>
    </row>
    <row r="8">
      <c r="A8" s="11" t="inlineStr">
        <is>
          <t>Vintage t=2023</t>
        </is>
      </c>
      <c r="B8" s="11" t="inlineStr">
        <is>
          <t>IMF CR 22/274, 2022 Article IV staff report</t>
        </is>
      </c>
      <c r="C8" s="11" t="inlineStr">
        <is>
          <t>Aug 2022</t>
        </is>
      </c>
      <c r="D8" s="11" t="inlineStr">
        <is>
          <t>Table 1 p.45: non-oil growth 2022-23; NOPB 2022-23; first outturn for 2021</t>
        </is>
      </c>
      <c r="E8" s="11" t="inlineStr">
        <is>
          <t>https://www.imf.org/en/publications/cr/issues/2022/08/11/saudi-arabia-2022-article-iv-consultation-press-release-and-staff-report-522189 | data/imf_reports/imf_sau_artiv_2022_cr22274.pdf</t>
        </is>
      </c>
    </row>
    <row r="9">
      <c r="A9" s="11" t="inlineStr">
        <is>
          <t>Vintage t=2024</t>
        </is>
      </c>
      <c r="B9" s="11" t="inlineStr">
        <is>
          <t>IMF CR 23/323, 2023 Article IV staff report</t>
        </is>
      </c>
      <c r="C9" s="11" t="inlineStr">
        <is>
          <t>Sep 2023</t>
        </is>
      </c>
      <c r="D9" s="11" t="inlineStr">
        <is>
          <t>Table 1 p.49: non-oil growth 2023-24; NOPB 2023-24; latest actuals for 2019; first outturn for 2022</t>
        </is>
      </c>
      <c r="E9" s="11" t="inlineStr">
        <is>
          <t>https://www.imf.org/en/publications/cr/issues/2023/09/05/saudi-arabia-2023-article-iv-consultation-press-release-staff-report-and-informational-annex-538823 | data/imf_reports/imf_sau_artiv_2023_cr23323.pdf</t>
        </is>
      </c>
    </row>
    <row r="10">
      <c r="A10" s="11" t="inlineStr">
        <is>
          <t>Vintage t=2025</t>
        </is>
      </c>
      <c r="B10" s="11" t="inlineStr">
        <is>
          <t>IMF CR 24/280, 2024 Article IV staff report</t>
        </is>
      </c>
      <c r="C10" s="11" t="inlineStr">
        <is>
          <t>Sep 2024</t>
        </is>
      </c>
      <c r="D10" s="11" t="inlineStr">
        <is>
          <t>Table 1 p.52: non-oil growth 2024-25; NOPB 2024-25; latest actuals for 2020-21; first outturn for 2023</t>
        </is>
      </c>
      <c r="E10" s="11" t="inlineStr">
        <is>
          <t>https://www.imf.org/en/Publications/CR/Issues/2024/09/03/Saudi-Arabia-2024-Article-IV-Consultation-Press-Release-Staff-Report-and-Informational-Annex-554530 | data/imf_reports/imf_sau_artiv_2024_cr24280.pdf</t>
        </is>
      </c>
    </row>
    <row r="11">
      <c r="A11" s="11" t="inlineStr">
        <is>
          <t>Vintage t=2026</t>
        </is>
      </c>
      <c r="B11" s="11" t="inlineStr">
        <is>
          <t>IMF CR 25/223, 2025 Article IV staff report</t>
        </is>
      </c>
      <c r="C11" s="11" t="inlineStr">
        <is>
          <t>Aug 2025</t>
        </is>
      </c>
      <c r="D11" s="11" t="inlineStr">
        <is>
          <t>Table 1 p.43: non-oil growth 2025-26; NOPB 2025-26; latest actuals for 2022-24 (rebased basis)</t>
        </is>
      </c>
      <c r="E11" s="11" t="inlineStr">
        <is>
          <t>https://www.imf.org/en/publications/cr/issues/2025/08/02/saudi-arabia-2025-article-iv-consultation-press-release-and-staff-report-569252 | data/imf_reports/imf_sau_artiv_2025_cr25223.pdf</t>
        </is>
      </c>
    </row>
    <row r="12">
      <c r="A12" s="11" t="inlineStr">
        <is>
          <t>2025 memo</t>
        </is>
      </c>
      <c r="B12" s="11" t="inlineStr">
        <is>
          <t>IMF Press Release 26/181, staff completes 2026 Article IV mission</t>
        </is>
      </c>
      <c r="C12" s="11" t="inlineStr">
        <is>
          <t>3 Jun 2026</t>
        </is>
      </c>
      <c r="D12" s="11" t="inlineStr">
        <is>
          <t>Real GDP +4.5% in 2025 (total; non-oil actual not yet published)</t>
        </is>
      </c>
      <c r="E12" s="11" t="inlineStr">
        <is>
          <t>https://www.imf.org/en/news/articles/2026/06/03/pr26181-saudi-arabia-imf-staff-completes-2026-article-iv-mission</t>
        </is>
      </c>
    </row>
    <row r="13">
      <c r="A13" s="11" t="inlineStr">
        <is>
          <t>Method</t>
        </is>
      </c>
      <c r="B13" s="11" t="inlineStr">
        <is>
          <t>Blanchard, O. and D. Leigh (2013), 'Growth Forecast Errors and Fiscal Multipliers', AER 103(3) / IMF WP/13/1</t>
        </is>
      </c>
      <c r="C13" s="11" t="inlineStr">
        <is>
          <t>2013</t>
        </is>
      </c>
      <c r="D13" s="11" t="inlineStr">
        <is>
          <t>Regression design</t>
        </is>
      </c>
      <c r="E13" s="11" t="inlineStr">
        <is>
          <t>https://www.imf.org/external/pubs/ft/wp/2013/wp1301.pdf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2026-07-14T01:56:29Z</dcterms:created>
  <dcterms:modified xsi:type="dcterms:W3CDTF">2026-07-14T01:56:29Z</dcterms:modified>
</cp:coreProperties>
</file>